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b/Downloads/"/>
    </mc:Choice>
  </mc:AlternateContent>
  <xr:revisionPtr revIDLastSave="0" documentId="8_{46F77057-A709-DE44-A8AF-999C64BDB206}" xr6:coauthVersionLast="47" xr6:coauthVersionMax="47" xr10:uidLastSave="{00000000-0000-0000-0000-000000000000}"/>
  <bookViews>
    <workbookView xWindow="0" yWindow="0" windowWidth="28800" windowHeight="18000" activeTab="2" xr2:uid="{AECC08B0-68BB-B44F-9366-A39F1AD52305}"/>
  </bookViews>
  <sheets>
    <sheet name="Strecken" sheetId="1" r:id="rId1"/>
    <sheet name="Knoten" sheetId="2" r:id="rId2"/>
    <sheet name="Anlagen" sheetId="3" r:id="rId3"/>
    <sheet name="Fahrgäste" sheetId="4" r:id="rId4"/>
    <sheet name="Karte ÖV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O3" i="1"/>
  <c r="M3" i="1"/>
  <c r="L3" i="1"/>
</calcChain>
</file>

<file path=xl/sharedStrings.xml><?xml version="1.0" encoding="utf-8"?>
<sst xmlns="http://schemas.openxmlformats.org/spreadsheetml/2006/main" count="126" uniqueCount="56">
  <si>
    <t>Anlagen id.</t>
  </si>
  <si>
    <t>Typ</t>
  </si>
  <si>
    <t>Zustand</t>
  </si>
  <si>
    <t>Sanierungskosten</t>
  </si>
  <si>
    <t>Startpunkt</t>
  </si>
  <si>
    <t>Endpunkt</t>
  </si>
  <si>
    <t>Strecken_ID</t>
  </si>
  <si>
    <t>W_L_S</t>
  </si>
  <si>
    <t>L_K_Z</t>
  </si>
  <si>
    <t>K_A_Z</t>
  </si>
  <si>
    <t>R_A_Z</t>
  </si>
  <si>
    <t>W_K_B</t>
  </si>
  <si>
    <t>Weggis</t>
  </si>
  <si>
    <t>Luzern</t>
  </si>
  <si>
    <t>Modi</t>
  </si>
  <si>
    <t>Schiff</t>
  </si>
  <si>
    <t>Knoten_Name</t>
  </si>
  <si>
    <t>Küsnacht_am_Rigi</t>
  </si>
  <si>
    <t>Anfang_GPS</t>
  </si>
  <si>
    <t>Ende_GPS</t>
  </si>
  <si>
    <t>Arth_Goldau</t>
  </si>
  <si>
    <t>Rigi</t>
  </si>
  <si>
    <t>Zug</t>
  </si>
  <si>
    <t>Bus</t>
  </si>
  <si>
    <t>W_R_L</t>
  </si>
  <si>
    <t>Luftseilbahn</t>
  </si>
  <si>
    <t>Kapazität (FGS/Tag/)</t>
  </si>
  <si>
    <t>Kapazität (FGS/Nacht)</t>
  </si>
  <si>
    <t>Location GPS</t>
  </si>
  <si>
    <t>Weggis_Kai</t>
  </si>
  <si>
    <t>Luzern_kai</t>
  </si>
  <si>
    <t>Kai</t>
  </si>
  <si>
    <t>Luzern_Weiche_1</t>
  </si>
  <si>
    <t>Luzern_Weiche_2</t>
  </si>
  <si>
    <t>Küsnacht_Weiche_1</t>
  </si>
  <si>
    <t>Brücke_Luzern_Kü</t>
  </si>
  <si>
    <t>Weiche</t>
  </si>
  <si>
    <t>Brücke</t>
  </si>
  <si>
    <t>K_Straße</t>
  </si>
  <si>
    <t>Weggis_KS</t>
  </si>
  <si>
    <t>Kü_KS</t>
  </si>
  <si>
    <t>AG_Kü_Weiche_1</t>
  </si>
  <si>
    <t>AG_Kü_Weiche_2</t>
  </si>
  <si>
    <t>AG_Kü_Weiche_3</t>
  </si>
  <si>
    <t>AG_Ri_Tunnel1</t>
  </si>
  <si>
    <t>AG_Ri_Tunnel2</t>
  </si>
  <si>
    <t>AG_Ri_Weiche1</t>
  </si>
  <si>
    <t>Tunnel</t>
  </si>
  <si>
    <t>Ri_Wegg_Seilen</t>
  </si>
  <si>
    <t>Seilen</t>
  </si>
  <si>
    <t>Ri_Wegg_Kabine</t>
  </si>
  <si>
    <t>Kabine</t>
  </si>
  <si>
    <t>Dauer Sanierung (12 stnd)</t>
  </si>
  <si>
    <t>Von/Bis</t>
  </si>
  <si>
    <t>Tag</t>
  </si>
  <si>
    <t>Nacht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</si>
</sst>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79C9-D83A-0549-9084-9B3141C241F7}">
  <dimension ref="A1:O21"/>
  <sheetViews>
    <sheetView workbookViewId="0">
      <selection activeCell="E29" sqref="E29"/>
    </sheetView>
  </sheetViews>
  <sheetFormatPr baseColWidth="10" defaultRowHeight="16" x14ac:dyDescent="0.2"/>
  <cols>
    <col min="2" max="2" width="17" customWidth="1"/>
    <col min="3" max="3" width="19.5" customWidth="1"/>
    <col min="5" max="5" width="28.6640625" customWidth="1"/>
    <col min="6" max="6" width="21.83203125" customWidth="1"/>
    <col min="9" max="9" width="10.83203125" customWidth="1"/>
    <col min="10" max="10" width="21.6640625" customWidth="1"/>
  </cols>
  <sheetData>
    <row r="1" spans="1:15" x14ac:dyDescent="0.2">
      <c r="A1" t="s">
        <v>6</v>
      </c>
      <c r="B1" s="2" t="s">
        <v>4</v>
      </c>
      <c r="C1" s="2" t="s">
        <v>5</v>
      </c>
      <c r="D1" s="2" t="s">
        <v>14</v>
      </c>
      <c r="E1" s="2" t="s">
        <v>26</v>
      </c>
      <c r="F1" s="2" t="s">
        <v>27</v>
      </c>
    </row>
    <row r="2" spans="1:15" x14ac:dyDescent="0.2">
      <c r="A2" t="s">
        <v>7</v>
      </c>
      <c r="B2" s="8" t="s">
        <v>12</v>
      </c>
      <c r="C2" s="8" t="s">
        <v>13</v>
      </c>
      <c r="D2" s="2" t="s">
        <v>15</v>
      </c>
      <c r="E2">
        <v>5400</v>
      </c>
      <c r="F2">
        <v>2700</v>
      </c>
      <c r="J2" s="2" t="s">
        <v>53</v>
      </c>
      <c r="K2" s="2" t="s">
        <v>12</v>
      </c>
      <c r="L2" s="2" t="s">
        <v>13</v>
      </c>
      <c r="M2" s="2" t="s">
        <v>17</v>
      </c>
      <c r="N2" s="2" t="s">
        <v>20</v>
      </c>
      <c r="O2" s="2" t="s">
        <v>21</v>
      </c>
    </row>
    <row r="3" spans="1:15" x14ac:dyDescent="0.2">
      <c r="A3" t="s">
        <v>8</v>
      </c>
      <c r="B3" s="8" t="s">
        <v>13</v>
      </c>
      <c r="C3" s="8" t="s">
        <v>17</v>
      </c>
      <c r="D3" s="2" t="s">
        <v>22</v>
      </c>
      <c r="E3">
        <v>5136</v>
      </c>
      <c r="F3">
        <v>2568</v>
      </c>
      <c r="J3" s="2" t="s">
        <v>12</v>
      </c>
      <c r="K3" s="6"/>
      <c r="L3">
        <f>E2*0.3</f>
        <v>1620</v>
      </c>
      <c r="M3">
        <f>E7*0.3</f>
        <v>450</v>
      </c>
      <c r="N3" s="6"/>
      <c r="O3">
        <f>ROUND(E6*0.3,0)</f>
        <v>547</v>
      </c>
    </row>
    <row r="4" spans="1:15" x14ac:dyDescent="0.2">
      <c r="A4" t="s">
        <v>9</v>
      </c>
      <c r="B4" s="2" t="s">
        <v>17</v>
      </c>
      <c r="C4" s="2" t="s">
        <v>20</v>
      </c>
      <c r="D4" s="2" t="s">
        <v>22</v>
      </c>
      <c r="E4">
        <v>3840</v>
      </c>
      <c r="F4">
        <v>1920</v>
      </c>
      <c r="J4" s="2" t="s">
        <v>13</v>
      </c>
      <c r="L4" s="6"/>
      <c r="M4">
        <f>ROUND(E3*0.3,0)</f>
        <v>1541</v>
      </c>
      <c r="N4" s="6"/>
    </row>
    <row r="5" spans="1:15" x14ac:dyDescent="0.2">
      <c r="A5" t="s">
        <v>10</v>
      </c>
      <c r="B5" s="2" t="s">
        <v>21</v>
      </c>
      <c r="C5" s="2" t="s">
        <v>20</v>
      </c>
      <c r="D5" s="2" t="s">
        <v>22</v>
      </c>
      <c r="E5">
        <v>1200</v>
      </c>
      <c r="F5">
        <v>400</v>
      </c>
      <c r="J5" s="2" t="s">
        <v>17</v>
      </c>
      <c r="M5" s="6"/>
    </row>
    <row r="6" spans="1:15" x14ac:dyDescent="0.2">
      <c r="A6" t="s">
        <v>24</v>
      </c>
      <c r="B6" s="8" t="s">
        <v>12</v>
      </c>
      <c r="C6" s="8" t="s">
        <v>21</v>
      </c>
      <c r="D6" s="2" t="s">
        <v>25</v>
      </c>
      <c r="E6">
        <v>1824</v>
      </c>
      <c r="F6">
        <v>608</v>
      </c>
      <c r="J6" s="2" t="s">
        <v>20</v>
      </c>
      <c r="N6" s="6"/>
    </row>
    <row r="7" spans="1:15" x14ac:dyDescent="0.2">
      <c r="A7" t="s">
        <v>11</v>
      </c>
      <c r="B7" s="8" t="s">
        <v>12</v>
      </c>
      <c r="C7" s="8" t="s">
        <v>17</v>
      </c>
      <c r="D7" s="2" t="s">
        <v>23</v>
      </c>
      <c r="E7">
        <v>1500</v>
      </c>
      <c r="F7">
        <v>600</v>
      </c>
      <c r="J7" s="2" t="s">
        <v>21</v>
      </c>
      <c r="O7" s="6"/>
    </row>
    <row r="10" spans="1:15" x14ac:dyDescent="0.2">
      <c r="J10" s="7" t="s">
        <v>54</v>
      </c>
      <c r="K10" s="7"/>
      <c r="L10" s="7"/>
      <c r="M10" s="7"/>
      <c r="N10" s="7"/>
      <c r="O10" s="7"/>
    </row>
    <row r="13" spans="1:15" x14ac:dyDescent="0.2">
      <c r="J13" s="2" t="s">
        <v>53</v>
      </c>
      <c r="K13" s="2" t="s">
        <v>12</v>
      </c>
      <c r="L13" s="2" t="s">
        <v>13</v>
      </c>
      <c r="M13" s="2" t="s">
        <v>17</v>
      </c>
      <c r="N13" s="2" t="s">
        <v>20</v>
      </c>
      <c r="O13" s="2" t="s">
        <v>21</v>
      </c>
    </row>
    <row r="14" spans="1:15" x14ac:dyDescent="0.2">
      <c r="J14" s="2" t="s">
        <v>12</v>
      </c>
      <c r="K14" s="6"/>
    </row>
    <row r="15" spans="1:15" x14ac:dyDescent="0.2">
      <c r="J15" s="2" t="s">
        <v>13</v>
      </c>
      <c r="L15" s="6"/>
    </row>
    <row r="16" spans="1:15" x14ac:dyDescent="0.2">
      <c r="J16" s="2" t="s">
        <v>17</v>
      </c>
      <c r="M16" s="6"/>
    </row>
    <row r="17" spans="10:15" x14ac:dyDescent="0.2">
      <c r="J17" s="2" t="s">
        <v>20</v>
      </c>
      <c r="N17" s="6"/>
    </row>
    <row r="18" spans="10:15" x14ac:dyDescent="0.2">
      <c r="J18" s="2" t="s">
        <v>21</v>
      </c>
      <c r="O18" s="6"/>
    </row>
    <row r="21" spans="10:15" x14ac:dyDescent="0.2">
      <c r="J21" s="7" t="s">
        <v>55</v>
      </c>
      <c r="K21" s="7"/>
      <c r="L21" s="7"/>
      <c r="M21" s="7"/>
      <c r="N21" s="7"/>
      <c r="O21" s="7"/>
    </row>
  </sheetData>
  <mergeCells count="2">
    <mergeCell ref="J10:O10"/>
    <mergeCell ref="J21:O2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D78C-C2E0-E14F-AF6B-58A11F4187DD}">
  <dimension ref="A1:C6"/>
  <sheetViews>
    <sheetView workbookViewId="0">
      <selection activeCell="A6" sqref="A2:A6"/>
    </sheetView>
  </sheetViews>
  <sheetFormatPr baseColWidth="10" defaultRowHeight="16" x14ac:dyDescent="0.2"/>
  <cols>
    <col min="1" max="1" width="16.83203125" customWidth="1"/>
  </cols>
  <sheetData>
    <row r="1" spans="1:3" x14ac:dyDescent="0.2">
      <c r="A1" t="s">
        <v>16</v>
      </c>
      <c r="B1" s="1" t="s">
        <v>18</v>
      </c>
      <c r="C1" s="1" t="s">
        <v>19</v>
      </c>
    </row>
    <row r="2" spans="1:3" x14ac:dyDescent="0.2">
      <c r="A2" s="2" t="s">
        <v>12</v>
      </c>
    </row>
    <row r="3" spans="1:3" x14ac:dyDescent="0.2">
      <c r="A3" s="2" t="s">
        <v>13</v>
      </c>
    </row>
    <row r="4" spans="1:3" x14ac:dyDescent="0.2">
      <c r="A4" s="2" t="s">
        <v>17</v>
      </c>
    </row>
    <row r="5" spans="1:3" x14ac:dyDescent="0.2">
      <c r="A5" s="2" t="s">
        <v>20</v>
      </c>
    </row>
    <row r="6" spans="1:3" x14ac:dyDescent="0.2">
      <c r="A6" s="2" t="s">
        <v>21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984F-B3D5-7744-BD92-2E3D6B0E53B3}">
  <dimension ref="A1:G18"/>
  <sheetViews>
    <sheetView tabSelected="1" zoomScale="86" workbookViewId="0">
      <selection activeCell="F20" sqref="F20"/>
    </sheetView>
  </sheetViews>
  <sheetFormatPr baseColWidth="10" defaultRowHeight="16" x14ac:dyDescent="0.2"/>
  <cols>
    <col min="6" max="7" width="18.1640625" customWidth="1"/>
  </cols>
  <sheetData>
    <row r="1" spans="1:7" x14ac:dyDescent="0.2">
      <c r="A1" s="4" t="s">
        <v>0</v>
      </c>
      <c r="B1" s="4"/>
      <c r="C1" s="2" t="s">
        <v>1</v>
      </c>
      <c r="D1" s="1" t="s">
        <v>2</v>
      </c>
      <c r="E1" s="1" t="s">
        <v>28</v>
      </c>
      <c r="F1" s="1" t="s">
        <v>3</v>
      </c>
      <c r="G1" s="1" t="s">
        <v>52</v>
      </c>
    </row>
    <row r="2" spans="1:7" x14ac:dyDescent="0.2">
      <c r="A2" s="3" t="s">
        <v>29</v>
      </c>
      <c r="B2" s="3"/>
      <c r="C2" s="2" t="s">
        <v>31</v>
      </c>
      <c r="D2" s="2">
        <v>2</v>
      </c>
      <c r="F2">
        <v>10000</v>
      </c>
      <c r="G2">
        <v>2</v>
      </c>
    </row>
    <row r="3" spans="1:7" x14ac:dyDescent="0.2">
      <c r="A3" s="3" t="s">
        <v>30</v>
      </c>
      <c r="B3" s="3"/>
      <c r="C3" s="2" t="s">
        <v>31</v>
      </c>
      <c r="D3" s="2">
        <v>1</v>
      </c>
      <c r="F3">
        <v>5000</v>
      </c>
      <c r="G3">
        <v>2</v>
      </c>
    </row>
    <row r="4" spans="1:7" x14ac:dyDescent="0.2">
      <c r="A4" s="3" t="s">
        <v>32</v>
      </c>
      <c r="B4" s="3"/>
      <c r="C4" s="2" t="s">
        <v>36</v>
      </c>
      <c r="D4" s="2">
        <v>2</v>
      </c>
      <c r="F4">
        <v>150000</v>
      </c>
      <c r="G4">
        <v>1</v>
      </c>
    </row>
    <row r="5" spans="1:7" x14ac:dyDescent="0.2">
      <c r="A5" s="3" t="s">
        <v>33</v>
      </c>
      <c r="B5" s="3"/>
      <c r="C5" s="2" t="s">
        <v>36</v>
      </c>
      <c r="D5" s="2">
        <v>1</v>
      </c>
      <c r="F5">
        <v>70000</v>
      </c>
      <c r="G5">
        <v>1</v>
      </c>
    </row>
    <row r="6" spans="1:7" x14ac:dyDescent="0.2">
      <c r="A6" s="3" t="s">
        <v>34</v>
      </c>
      <c r="B6" s="3"/>
      <c r="C6" s="2" t="s">
        <v>36</v>
      </c>
      <c r="D6" s="2">
        <v>3</v>
      </c>
      <c r="F6">
        <v>200000</v>
      </c>
      <c r="G6">
        <v>2</v>
      </c>
    </row>
    <row r="7" spans="1:7" x14ac:dyDescent="0.2">
      <c r="A7" s="3" t="s">
        <v>35</v>
      </c>
      <c r="B7" s="3"/>
      <c r="C7" s="2" t="s">
        <v>37</v>
      </c>
      <c r="D7" s="2">
        <v>2</v>
      </c>
      <c r="F7">
        <v>350000</v>
      </c>
      <c r="G7">
        <v>6</v>
      </c>
    </row>
    <row r="8" spans="1:7" x14ac:dyDescent="0.2">
      <c r="A8" s="5" t="s">
        <v>39</v>
      </c>
      <c r="B8" s="5"/>
      <c r="C8" s="2" t="s">
        <v>38</v>
      </c>
      <c r="D8" s="2">
        <v>2</v>
      </c>
      <c r="F8">
        <v>50000</v>
      </c>
      <c r="G8">
        <v>1</v>
      </c>
    </row>
    <row r="9" spans="1:7" x14ac:dyDescent="0.2">
      <c r="A9" s="5" t="s">
        <v>40</v>
      </c>
      <c r="B9" s="5"/>
      <c r="C9" s="2" t="s">
        <v>38</v>
      </c>
      <c r="D9" s="2">
        <v>1</v>
      </c>
      <c r="F9">
        <v>30000</v>
      </c>
      <c r="G9">
        <v>1</v>
      </c>
    </row>
    <row r="10" spans="1:7" x14ac:dyDescent="0.2">
      <c r="A10" s="5" t="s">
        <v>41</v>
      </c>
      <c r="B10" s="5"/>
      <c r="C10" s="2" t="s">
        <v>36</v>
      </c>
      <c r="D10" s="2">
        <v>3</v>
      </c>
      <c r="F10">
        <v>60000</v>
      </c>
      <c r="G10">
        <v>2</v>
      </c>
    </row>
    <row r="11" spans="1:7" x14ac:dyDescent="0.2">
      <c r="A11" s="5" t="s">
        <v>42</v>
      </c>
      <c r="B11" s="5"/>
      <c r="C11" s="2" t="s">
        <v>36</v>
      </c>
      <c r="D11" s="2">
        <v>4</v>
      </c>
      <c r="F11">
        <v>100000</v>
      </c>
      <c r="G11">
        <v>3</v>
      </c>
    </row>
    <row r="12" spans="1:7" x14ac:dyDescent="0.2">
      <c r="A12" s="5" t="s">
        <v>43</v>
      </c>
      <c r="B12" s="5"/>
      <c r="C12" s="2" t="s">
        <v>36</v>
      </c>
      <c r="D12" s="2">
        <v>5</v>
      </c>
      <c r="F12">
        <v>180000</v>
      </c>
      <c r="G12">
        <v>4</v>
      </c>
    </row>
    <row r="13" spans="1:7" x14ac:dyDescent="0.2">
      <c r="A13" s="5" t="s">
        <v>35</v>
      </c>
      <c r="B13" s="5"/>
      <c r="C13" s="2" t="s">
        <v>37</v>
      </c>
      <c r="D13" s="2">
        <v>4</v>
      </c>
      <c r="F13">
        <v>1000000</v>
      </c>
      <c r="G13">
        <v>12</v>
      </c>
    </row>
    <row r="14" spans="1:7" x14ac:dyDescent="0.2">
      <c r="A14" s="5" t="s">
        <v>44</v>
      </c>
      <c r="B14" s="5"/>
      <c r="C14" s="2" t="s">
        <v>47</v>
      </c>
      <c r="D14" s="2">
        <v>1</v>
      </c>
      <c r="F14">
        <v>400000</v>
      </c>
      <c r="G14">
        <v>4</v>
      </c>
    </row>
    <row r="15" spans="1:7" x14ac:dyDescent="0.2">
      <c r="A15" s="5" t="s">
        <v>45</v>
      </c>
      <c r="B15" s="5"/>
      <c r="C15" s="2" t="s">
        <v>47</v>
      </c>
      <c r="D15" s="2">
        <v>3</v>
      </c>
      <c r="F15">
        <v>840000</v>
      </c>
      <c r="G15">
        <v>8</v>
      </c>
    </row>
    <row r="16" spans="1:7" x14ac:dyDescent="0.2">
      <c r="A16" s="5" t="s">
        <v>46</v>
      </c>
      <c r="B16" s="5"/>
      <c r="C16" s="2" t="s">
        <v>36</v>
      </c>
      <c r="D16" s="2">
        <v>2</v>
      </c>
      <c r="F16">
        <v>60000</v>
      </c>
      <c r="G16">
        <v>4</v>
      </c>
    </row>
    <row r="17" spans="1:7" x14ac:dyDescent="0.2">
      <c r="A17" s="5" t="s">
        <v>48</v>
      </c>
      <c r="B17" s="5"/>
      <c r="C17" s="2" t="s">
        <v>49</v>
      </c>
      <c r="D17" s="2">
        <v>2</v>
      </c>
      <c r="F17">
        <v>1500000</v>
      </c>
      <c r="G17">
        <v>8</v>
      </c>
    </row>
    <row r="18" spans="1:7" x14ac:dyDescent="0.2">
      <c r="A18" s="5" t="s">
        <v>50</v>
      </c>
      <c r="B18" s="5"/>
      <c r="C18" s="2" t="s">
        <v>51</v>
      </c>
      <c r="D18" s="2">
        <v>2</v>
      </c>
      <c r="F18">
        <v>50000</v>
      </c>
      <c r="G18">
        <v>1</v>
      </c>
    </row>
  </sheetData>
  <mergeCells count="18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B1"/>
    <mergeCell ref="A2:B2"/>
    <mergeCell ref="A3:B3"/>
    <mergeCell ref="A4:B4"/>
    <mergeCell ref="A5:B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377CB-4A76-D947-A5EA-FA7FCC0DE4EA}">
  <dimension ref="A1:N10"/>
  <sheetViews>
    <sheetView workbookViewId="0">
      <selection activeCell="I1" sqref="I1:N9"/>
    </sheetView>
  </sheetViews>
  <sheetFormatPr baseColWidth="10" defaultRowHeight="16" x14ac:dyDescent="0.2"/>
  <cols>
    <col min="1" max="1" width="16.1640625" customWidth="1"/>
    <col min="9" max="9" width="15.1640625" customWidth="1"/>
  </cols>
  <sheetData>
    <row r="1" spans="1:14" x14ac:dyDescent="0.2">
      <c r="A1" s="2" t="s">
        <v>53</v>
      </c>
      <c r="B1" s="2" t="s">
        <v>12</v>
      </c>
      <c r="C1" s="2" t="s">
        <v>13</v>
      </c>
      <c r="D1" s="2" t="s">
        <v>17</v>
      </c>
      <c r="E1" s="2" t="s">
        <v>20</v>
      </c>
      <c r="F1" s="2" t="s">
        <v>21</v>
      </c>
      <c r="I1" s="2" t="s">
        <v>53</v>
      </c>
      <c r="J1" s="2" t="s">
        <v>12</v>
      </c>
      <c r="K1" s="2" t="s">
        <v>13</v>
      </c>
      <c r="L1" s="2" t="s">
        <v>17</v>
      </c>
      <c r="M1" s="2" t="s">
        <v>20</v>
      </c>
      <c r="N1" s="2" t="s">
        <v>21</v>
      </c>
    </row>
    <row r="2" spans="1:14" x14ac:dyDescent="0.2">
      <c r="A2" s="2" t="s">
        <v>12</v>
      </c>
      <c r="B2" s="6"/>
      <c r="I2" s="2" t="s">
        <v>12</v>
      </c>
      <c r="J2" s="6"/>
    </row>
    <row r="3" spans="1:14" x14ac:dyDescent="0.2">
      <c r="A3" s="2" t="s">
        <v>13</v>
      </c>
      <c r="C3" s="6"/>
      <c r="I3" s="2" t="s">
        <v>13</v>
      </c>
      <c r="K3" s="6"/>
    </row>
    <row r="4" spans="1:14" x14ac:dyDescent="0.2">
      <c r="A4" s="2" t="s">
        <v>17</v>
      </c>
      <c r="D4" s="6"/>
      <c r="I4" s="2" t="s">
        <v>17</v>
      </c>
      <c r="L4" s="6"/>
    </row>
    <row r="5" spans="1:14" x14ac:dyDescent="0.2">
      <c r="A5" s="2" t="s">
        <v>20</v>
      </c>
      <c r="E5" s="6"/>
      <c r="I5" s="2" t="s">
        <v>20</v>
      </c>
      <c r="M5" s="6"/>
    </row>
    <row r="6" spans="1:14" x14ac:dyDescent="0.2">
      <c r="A6" s="2" t="s">
        <v>21</v>
      </c>
      <c r="F6" s="6"/>
      <c r="I6" s="2" t="s">
        <v>21</v>
      </c>
      <c r="N6" s="6"/>
    </row>
    <row r="9" spans="1:14" x14ac:dyDescent="0.2">
      <c r="A9" s="7" t="s">
        <v>54</v>
      </c>
      <c r="B9" s="7"/>
      <c r="C9" s="7"/>
      <c r="D9" s="7"/>
      <c r="E9" s="7"/>
      <c r="F9" s="7"/>
      <c r="I9" s="7" t="s">
        <v>55</v>
      </c>
      <c r="J9" s="7"/>
      <c r="K9" s="7"/>
      <c r="L9" s="7"/>
      <c r="M9" s="7"/>
      <c r="N9" s="7"/>
    </row>
    <row r="10" spans="1:14" x14ac:dyDescent="0.2">
      <c r="G10" s="2"/>
    </row>
  </sheetData>
  <mergeCells count="2">
    <mergeCell ref="A9:F9"/>
    <mergeCell ref="I9:N9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ECC1-6AAB-EF45-A03F-57C13B048617}">
  <dimension ref="A1"/>
  <sheetViews>
    <sheetView workbookViewId="0">
      <selection activeCell="AX12" sqref="AX12"/>
    </sheetView>
  </sheetViews>
  <sheetFormatPr baseColWidth="10" defaultRowHeight="16" x14ac:dyDescent="0.2"/>
  <cols>
    <col min="1" max="84" width="2.6640625" customWidth="1"/>
  </cols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Strecken</vt:lpstr>
      <vt:lpstr>Knoten</vt:lpstr>
      <vt:lpstr>Anlagen</vt:lpstr>
      <vt:lpstr>Fahrgäste</vt:lpstr>
      <vt:lpstr>Karte ÖV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Barros</dc:creator>
  <cp:lastModifiedBy>Luis Barros</cp:lastModifiedBy>
  <dcterms:created xsi:type="dcterms:W3CDTF">2026-01-08T13:24:30Z</dcterms:created>
  <dcterms:modified xsi:type="dcterms:W3CDTF">2026-01-08T14:43:48Z</dcterms:modified>
</cp:coreProperties>
</file>